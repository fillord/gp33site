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Тендер 2024 год\"/>
    </mc:Choice>
  </mc:AlternateContent>
  <bookViews>
    <workbookView xWindow="0" yWindow="0" windowWidth="19416" windowHeight="9264"/>
  </bookViews>
  <sheets>
    <sheet name="Протокол итогов ЗЦП" sheetId="1" r:id="rId1"/>
  </sheets>
  <definedNames>
    <definedName name="_xlnm._FilterDatabase" localSheetId="0" hidden="1">'Протокол итогов ЗЦП'!$A$18:$O$28</definedName>
    <definedName name="_xlnm.Print_Area" localSheetId="0">'Протокол итогов ЗЦП'!$A$1:$O$61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B37" i="1"/>
  <c r="H20" i="1"/>
  <c r="J27" i="1" s="1"/>
  <c r="G23" i="1"/>
  <c r="G24" i="1"/>
  <c r="G25" i="1"/>
  <c r="G26" i="1"/>
  <c r="G27" i="1"/>
  <c r="G22" i="1"/>
  <c r="J24" i="1" l="1"/>
  <c r="J26" i="1"/>
  <c r="J25" i="1"/>
  <c r="J23" i="1"/>
  <c r="B33" i="1"/>
  <c r="M28" i="1" l="1"/>
  <c r="B42" i="1"/>
  <c r="I22" i="1" l="1"/>
  <c r="I28" i="1" l="1"/>
  <c r="H42" i="1" s="1"/>
  <c r="G28" i="1" l="1"/>
</calcChain>
</file>

<file path=xl/sharedStrings.xml><?xml version="1.0" encoding="utf-8"?>
<sst xmlns="http://schemas.openxmlformats.org/spreadsheetml/2006/main" count="90" uniqueCount="64">
  <si>
    <t>№</t>
  </si>
  <si>
    <t>Наименование</t>
  </si>
  <si>
    <t>Техническая спецификация</t>
  </si>
  <si>
    <t>Ед.изм</t>
  </si>
  <si>
    <t>Итоги  (победитель)</t>
  </si>
  <si>
    <t>Количество</t>
  </si>
  <si>
    <t>Цена за единицу</t>
  </si>
  <si>
    <t>Сумма</t>
  </si>
  <si>
    <t>Секретарь:</t>
  </si>
  <si>
    <t>Наименование и местонахождение потенциального поставщика, с которым будет заключен договор и общая сумма  договора согласно представленному ценовому предложению:</t>
  </si>
  <si>
    <t>№ п/п</t>
  </si>
  <si>
    <t xml:space="preserve">Наименование 
потенциального поставщика
</t>
  </si>
  <si>
    <t>Адрес потенциального поставщика</t>
  </si>
  <si>
    <t>Потенциальные поставщики представившие ценовые предложения</t>
  </si>
  <si>
    <t>Дата и время</t>
  </si>
  <si>
    <t>В ответ к участию в закупках способом запроса ценовых предложений до истечении окончательного срока представил потенциальный поставщик:</t>
  </si>
  <si>
    <t>Краткое описание заукпаемых товаров и сопоставления ценовых предложений:</t>
  </si>
  <si>
    <t>Содержания конвертов на соответствия к квалификационным требованиям</t>
  </si>
  <si>
    <t>Заключение касательно документов по закупу :</t>
  </si>
  <si>
    <t>Итого</t>
  </si>
  <si>
    <t>Присутствовавшие при процедуре вскрытия конвертов:</t>
  </si>
  <si>
    <t>Наименование потенциального поставщика</t>
  </si>
  <si>
    <t xml:space="preserve">ФИО участника </t>
  </si>
  <si>
    <t>Соответствует требованиям запроса ценовых предложений</t>
  </si>
  <si>
    <t>Основание</t>
  </si>
  <si>
    <t>об итогах закупа лекарственных средств, медицинских изделий и специализированных лечебных продуктов в рамках гарантированного объема бесплатной медицинской помощи, дополнительного объема медицинской помощи для лиц, содержащихся в следственных изоляторах и учреждениях уголовно-исполнительной (пенитенциарной) системы, за счет бюджетных средств и (или) в системе обязательного социального медицинского страхования, фармацевтических услуг способом «Запроса ценовых предложений», согласно Приказа Министра здравоохранения Республики Казахстан от 7 июня 2023 года № 110.</t>
  </si>
  <si>
    <t>В соответствии с Главой 3 Приказа Министра здравоохранения Республики Казахстан от 7 июня 2023 года № 110. Об утверждении правил организации и проведения закупа лекарственных средств, медицинских изделий и специализированных лечебных продуктов в рамках гарантированного объема бесплатной медицинской помощи, дополнительного объема медицинской помощи для лиц, содержащихся в следственных изоляторах и учреждениях уголовно-исполнительной (пенитенциарной) системы, за счет бюджетных средств и (или) в системе обязательного социального медицинского страхования, фармацевтических услуг.</t>
  </si>
  <si>
    <t>Глава 3 п 78</t>
  </si>
  <si>
    <t>нет</t>
  </si>
  <si>
    <t>квалификационным требованиям направить потенциальному поставщику/победителю подписанный договор закупа.</t>
  </si>
  <si>
    <t>Менеджер по государственным закупкам</t>
  </si>
  <si>
    <r>
      <t xml:space="preserve">Наименование закупки: </t>
    </r>
    <r>
      <rPr>
        <b/>
        <sz val="9"/>
        <color theme="1"/>
        <rFont val="Times New Roman"/>
        <family val="1"/>
        <charset val="204"/>
      </rPr>
      <t>Закуп  лекарственных средств, профилактических (иммунобиологических, диагностических, дезинфицирующих) препаратов, изделий медицинского назначения</t>
    </r>
  </si>
  <si>
    <t>№ лотов</t>
  </si>
  <si>
    <t>Общая сумма договора, в тенге</t>
  </si>
  <si>
    <r>
      <t xml:space="preserve">Наименование заказчика (организатор) закупок – </t>
    </r>
    <r>
      <rPr>
        <b/>
        <sz val="9"/>
        <color theme="1"/>
        <rFont val="Times New Roman"/>
        <family val="1"/>
        <charset val="204"/>
      </rPr>
      <t>КГП на ПХВ «Городская поликлиника №33» УОЗ города Алматы.</t>
    </r>
  </si>
  <si>
    <t>Адрес заказчика (организатора) закупок: город Алматы, проспект Райымбека, д.263/2 (кабинет 404 )</t>
  </si>
  <si>
    <t xml:space="preserve">КГП на ПХВ "Городская поликлиника №33" УОЗ г.Алматы </t>
  </si>
  <si>
    <r>
      <t xml:space="preserve">Заказчику </t>
    </r>
    <r>
      <rPr>
        <b/>
        <sz val="9"/>
        <rFont val="Times New Roman"/>
        <family val="1"/>
        <charset val="204"/>
      </rPr>
      <t xml:space="preserve">КГП на ПХВ «Городская поликлиника № 33» УОЗ г.Алматы </t>
    </r>
    <r>
      <rPr>
        <sz val="9"/>
        <rFont val="Times New Roman"/>
        <family val="1"/>
        <charset val="204"/>
      </rPr>
      <t xml:space="preserve">в течении трех календарных дней после дня определения победителя соответствующим </t>
    </r>
  </si>
  <si>
    <r>
      <rPr>
        <b/>
        <sz val="9"/>
        <rFont val="Times New Roman"/>
        <family val="1"/>
        <charset val="204"/>
      </rPr>
      <t>Председатель комиссии</t>
    </r>
    <r>
      <rPr>
        <sz val="9"/>
        <rFont val="Times New Roman"/>
        <family val="1"/>
        <charset val="204"/>
      </rPr>
      <t xml:space="preserve"> - и.о. директора ___________________</t>
    </r>
    <r>
      <rPr>
        <b/>
        <sz val="9"/>
        <rFont val="Times New Roman"/>
        <family val="1"/>
        <charset val="204"/>
      </rPr>
      <t xml:space="preserve"> Абдрасилов Г.Б.</t>
    </r>
  </si>
  <si>
    <r>
      <rPr>
        <b/>
        <sz val="9"/>
        <rFont val="Times New Roman"/>
        <family val="1"/>
        <charset val="204"/>
      </rPr>
      <t xml:space="preserve">Заместитель председателя </t>
    </r>
    <r>
      <rPr>
        <sz val="9"/>
        <rFont val="Times New Roman"/>
        <family val="1"/>
        <charset val="204"/>
      </rPr>
      <t xml:space="preserve">- и.о. заместителя директора по ЛЧ ________________ </t>
    </r>
    <r>
      <rPr>
        <b/>
        <sz val="9"/>
        <rFont val="Times New Roman"/>
        <family val="1"/>
        <charset val="204"/>
      </rPr>
      <t xml:space="preserve"> Дуйсенова Г.М</t>
    </r>
  </si>
  <si>
    <r>
      <rPr>
        <b/>
        <sz val="9"/>
        <rFont val="Times New Roman"/>
        <family val="1"/>
        <charset val="204"/>
      </rPr>
      <t>Член комиссии</t>
    </r>
    <r>
      <rPr>
        <sz val="9"/>
        <rFont val="Times New Roman"/>
        <family val="1"/>
        <charset val="204"/>
      </rPr>
      <t xml:space="preserve"> - и.о. главного бухгалтера __________________ </t>
    </r>
    <r>
      <rPr>
        <b/>
        <sz val="9"/>
        <rFont val="Times New Roman"/>
        <family val="1"/>
        <charset val="204"/>
      </rPr>
      <t>Аклямова М.Д.</t>
    </r>
  </si>
  <si>
    <r>
      <rPr>
        <b/>
        <sz val="9"/>
        <rFont val="Times New Roman"/>
        <family val="1"/>
        <charset val="204"/>
      </rPr>
      <t xml:space="preserve">Член комиссии </t>
    </r>
    <r>
      <rPr>
        <sz val="9"/>
        <rFont val="Times New Roman"/>
        <family val="1"/>
        <charset val="204"/>
      </rPr>
      <t xml:space="preserve">– руководитель АХЧ  ______________________ </t>
    </r>
    <r>
      <rPr>
        <b/>
        <sz val="9"/>
        <rFont val="Times New Roman"/>
        <family val="1"/>
        <charset val="204"/>
      </rPr>
      <t>Кулуншаков М.Ж.</t>
    </r>
  </si>
  <si>
    <r>
      <rPr>
        <b/>
        <sz val="9"/>
        <rFont val="Times New Roman"/>
        <family val="1"/>
        <charset val="204"/>
      </rPr>
      <t>Член комиссии</t>
    </r>
    <r>
      <rPr>
        <sz val="9"/>
        <rFont val="Times New Roman"/>
        <family val="1"/>
        <charset val="204"/>
      </rPr>
      <t xml:space="preserve"> – экономист по финансовой работе _________________ </t>
    </r>
    <r>
      <rPr>
        <b/>
        <sz val="9"/>
        <rFont val="Times New Roman"/>
        <family val="1"/>
        <charset val="204"/>
      </rPr>
      <t xml:space="preserve">Ахметбекова Н.К. </t>
    </r>
  </si>
  <si>
    <r>
      <t>___________________</t>
    </r>
    <r>
      <rPr>
        <b/>
        <sz val="9"/>
        <color theme="1"/>
        <rFont val="Times New Roman"/>
        <family val="1"/>
        <charset val="204"/>
      </rPr>
      <t xml:space="preserve">Сатаева З.А. </t>
    </r>
  </si>
  <si>
    <t>Протокол итогов №2</t>
  </si>
  <si>
    <r>
      <t>Дата  протокола: 25</t>
    </r>
    <r>
      <rPr>
        <b/>
        <sz val="9"/>
        <rFont val="Times New Roman"/>
        <family val="1"/>
        <charset val="204"/>
      </rPr>
      <t>.11.2024 г, время: 12:00 часов 00 минут</t>
    </r>
  </si>
  <si>
    <t>№ закупки: 3</t>
  </si>
  <si>
    <r>
      <t>Дата начала приема заявок :</t>
    </r>
    <r>
      <rPr>
        <b/>
        <sz val="9"/>
        <color theme="1"/>
        <rFont val="Times New Roman"/>
        <family val="1"/>
        <charset val="204"/>
      </rPr>
      <t xml:space="preserve"> 15.11</t>
    </r>
    <r>
      <rPr>
        <b/>
        <sz val="9"/>
        <rFont val="Times New Roman"/>
        <family val="1"/>
        <charset val="204"/>
      </rPr>
      <t>.2024 г. с 09:00 ч</t>
    </r>
  </si>
  <si>
    <r>
      <t>Дата окончания приема заявок:</t>
    </r>
    <r>
      <rPr>
        <b/>
        <sz val="9"/>
        <rFont val="Times New Roman"/>
        <family val="1"/>
        <charset val="204"/>
      </rPr>
      <t xml:space="preserve"> 22.11.2024 г. до 10:00 ч</t>
    </r>
  </si>
  <si>
    <t>ТОО "АИМ Плюс"</t>
  </si>
  <si>
    <t>20.11.2024г. 14:30 мин</t>
  </si>
  <si>
    <t>Промывочный раствор CLE-P (50ml) для анализатора Dymind DF55</t>
  </si>
  <si>
    <t xml:space="preserve">флакон </t>
  </si>
  <si>
    <t>Дилюент DIL-C 20л. для анализатора Dymind DF55</t>
  </si>
  <si>
    <t>Контрольная кровь СВС-DH 6X3.0 МЛ 3 УРОВНЯ (1+1+1) для анализатора Dymind DF55</t>
  </si>
  <si>
    <t>набор</t>
  </si>
  <si>
    <t>Бумага для анализатора 57*30м для анализатора Dymind DF55</t>
  </si>
  <si>
    <t>рулон</t>
  </si>
  <si>
    <r>
      <t xml:space="preserve">Лизирующий раствор </t>
    </r>
    <r>
      <rPr>
        <sz val="9"/>
        <color theme="1"/>
        <rFont val="Times New Roman"/>
        <family val="1"/>
        <charset val="204"/>
      </rPr>
      <t>LYC-1(200ml) для анализатора Dymind DF55</t>
    </r>
  </si>
  <si>
    <r>
      <t xml:space="preserve">Лизирующий раствор </t>
    </r>
    <r>
      <rPr>
        <sz val="9"/>
        <color theme="1"/>
        <rFont val="Times New Roman"/>
        <family val="1"/>
        <charset val="204"/>
      </rPr>
      <t>LYC-2(500ml) для анализатора Dymind DF55</t>
    </r>
  </si>
  <si>
    <t>кан.</t>
  </si>
  <si>
    <t>РК, Алматинская область, Карасайский район, г.Каскелен,  ул.Байгазиева д.7, почтовый индекс 040900</t>
  </si>
  <si>
    <t>№1, №2, №3, №4, №5, №6</t>
  </si>
  <si>
    <t>Победитель по лотам №1, №2, №3, №4, №5, №6 - ТОО "АИМ Плюс"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</si>
</sst>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₸_-;\-* #,##0.00\ _₸_-;_-* &quot;-&quot;??\ _₸_-;_-@_-"/>
    <numFmt numFmtId="165" formatCode="0_);\(0\)"/>
  </numFmts>
  <fonts count="18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i/>
      <sz val="9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color rgb="FFFF0000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9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5" fillId="0" borderId="0"/>
    <xf numFmtId="0" fontId="2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2" fillId="0" borderId="0"/>
    <xf numFmtId="0" fontId="14" fillId="0" borderId="0"/>
  </cellStyleXfs>
  <cellXfs count="152">
    <xf numFmtId="0" fontId="0" fillId="0" borderId="0" xfId="0"/>
    <xf numFmtId="0" fontId="1" fillId="0" borderId="0" xfId="0" applyFont="1"/>
    <xf numFmtId="0" fontId="3" fillId="0" borderId="0" xfId="1" applyFont="1"/>
    <xf numFmtId="3" fontId="3" fillId="0" borderId="0" xfId="1" applyNumberFormat="1" applyFont="1" applyAlignment="1">
      <alignment horizontal="center"/>
    </xf>
    <xf numFmtId="0" fontId="4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3" fillId="0" borderId="0" xfId="6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0" xfId="8" applyFont="1" applyFill="1" applyBorder="1" applyAlignment="1">
      <alignment horizontal="center" vertical="center" wrapText="1"/>
    </xf>
    <xf numFmtId="0" fontId="13" fillId="0" borderId="0" xfId="8" applyFont="1" applyFill="1" applyBorder="1" applyAlignment="1">
      <alignment horizontal="center" vertical="center"/>
    </xf>
    <xf numFmtId="4" fontId="13" fillId="0" borderId="0" xfId="8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8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" fontId="7" fillId="0" borderId="0" xfId="0" applyNumberFormat="1" applyFont="1" applyAlignment="1">
      <alignment horizontal="left" vertical="center" wrapText="1"/>
    </xf>
    <xf numFmtId="4" fontId="1" fillId="0" borderId="0" xfId="0" applyNumberFormat="1" applyFont="1"/>
    <xf numFmtId="4" fontId="1" fillId="0" borderId="0" xfId="0" applyNumberFormat="1" applyFont="1" applyAlignment="1">
      <alignment horizontal="left" wrapText="1"/>
    </xf>
    <xf numFmtId="4" fontId="4" fillId="0" borderId="0" xfId="0" applyNumberFormat="1" applyFont="1"/>
    <xf numFmtId="4" fontId="1" fillId="0" borderId="23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left" vertical="center" wrapText="1"/>
    </xf>
    <xf numFmtId="4" fontId="4" fillId="0" borderId="0" xfId="0" applyNumberFormat="1" applyFont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5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wrapText="1"/>
    </xf>
    <xf numFmtId="0" fontId="1" fillId="0" borderId="33" xfId="0" applyFont="1" applyBorder="1" applyAlignment="1">
      <alignment wrapText="1"/>
    </xf>
    <xf numFmtId="0" fontId="1" fillId="0" borderId="33" xfId="0" applyFont="1" applyBorder="1" applyAlignment="1">
      <alignment horizontal="center" wrapText="1"/>
    </xf>
    <xf numFmtId="3" fontId="3" fillId="0" borderId="33" xfId="1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4" fontId="4" fillId="0" borderId="33" xfId="0" applyNumberFormat="1" applyFont="1" applyBorder="1" applyAlignment="1">
      <alignment horizontal="center" wrapText="1"/>
    </xf>
    <xf numFmtId="164" fontId="4" fillId="0" borderId="33" xfId="0" applyNumberFormat="1" applyFont="1" applyBorder="1" applyAlignment="1">
      <alignment horizontal="center" vertical="center" wrapText="1"/>
    </xf>
    <xf numFmtId="4" fontId="4" fillId="0" borderId="33" xfId="0" applyNumberFormat="1" applyFont="1" applyBorder="1" applyAlignment="1">
      <alignment horizontal="right" wrapText="1"/>
    </xf>
    <xf numFmtId="4" fontId="1" fillId="0" borderId="33" xfId="0" applyNumberFormat="1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4" fontId="3" fillId="0" borderId="22" xfId="0" applyNumberFormat="1" applyFont="1" applyFill="1" applyBorder="1" applyAlignment="1">
      <alignment horizontal="center" vertical="center"/>
    </xf>
    <xf numFmtId="4" fontId="1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4" fontId="3" fillId="0" borderId="3" xfId="0" applyNumberFormat="1" applyFont="1" applyFill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4" fontId="3" fillId="0" borderId="19" xfId="0" applyNumberFormat="1" applyFont="1" applyFill="1" applyBorder="1" applyAlignment="1">
      <alignment horizontal="center" vertical="center"/>
    </xf>
    <xf numFmtId="4" fontId="1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0" borderId="0" xfId="8" applyFont="1" applyFill="1" applyBorder="1" applyAlignment="1">
      <alignment vertical="center"/>
    </xf>
    <xf numFmtId="0" fontId="17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3" fontId="1" fillId="0" borderId="22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32" xfId="0" applyFont="1" applyBorder="1" applyAlignment="1">
      <alignment horizontal="center" vertical="center" wrapText="1"/>
    </xf>
    <xf numFmtId="0" fontId="3" fillId="0" borderId="0" xfId="8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</cellXfs>
  <cellStyles count="9">
    <cellStyle name="Excel Built-in Normal" xfId="7"/>
    <cellStyle name="Обычный" xfId="0" builtinId="0"/>
    <cellStyle name="Обычный 2" xfId="1"/>
    <cellStyle name="Обычный 3" xfId="2"/>
    <cellStyle name="Обычный 4" xfId="3"/>
    <cellStyle name="Обычный 5" xfId="8"/>
    <cellStyle name="Финансовый" xfId="6" builtinId="3"/>
    <cellStyle name="Финансовый 2" xfId="4"/>
    <cellStyle name="Финансовый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57</xdr:row>
      <xdr:rowOff>145353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952625" y="125730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60</xdr:row>
      <xdr:rowOff>13263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952625" y="8372475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27</xdr:row>
      <xdr:rowOff>0</xdr:rowOff>
    </xdr:from>
    <xdr:to>
      <xdr:col>2</xdr:col>
      <xdr:colOff>1905</xdr:colOff>
      <xdr:row>58</xdr:row>
      <xdr:rowOff>88335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1952625" y="8496300"/>
          <a:ext cx="0" cy="667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X64"/>
  <sheetViews>
    <sheetView tabSelected="1" view="pageBreakPreview" zoomScale="96" zoomScaleNormal="40" zoomScaleSheetLayoutView="96" workbookViewId="0">
      <selection activeCell="A43" sqref="A43:XFD43"/>
    </sheetView>
  </sheetViews>
  <sheetFormatPr defaultColWidth="9.109375" defaultRowHeight="12" x14ac:dyDescent="0.25"/>
  <cols>
    <col min="1" max="1" width="5.88671875" style="46" customWidth="1"/>
    <col min="2" max="2" width="25" style="1" customWidth="1"/>
    <col min="3" max="3" width="25.5546875" style="1" customWidth="1"/>
    <col min="4" max="4" width="6.33203125" style="1" customWidth="1"/>
    <col min="5" max="5" width="8.21875" style="1" customWidth="1"/>
    <col min="6" max="6" width="10.5546875" style="1" customWidth="1"/>
    <col min="7" max="7" width="12.21875" style="1" customWidth="1"/>
    <col min="8" max="8" width="11.21875" style="1" customWidth="1"/>
    <col min="9" max="9" width="12.88671875" style="1" customWidth="1"/>
    <col min="10" max="10" width="15.21875" style="1" customWidth="1"/>
    <col min="11" max="11" width="11.21875" style="1" customWidth="1"/>
    <col min="12" max="12" width="11.44140625" style="50" customWidth="1"/>
    <col min="13" max="13" width="12.6640625" style="1" customWidth="1"/>
    <col min="14" max="14" width="13.5546875" style="6" customWidth="1"/>
    <col min="15" max="15" width="11" style="6" customWidth="1"/>
    <col min="16" max="16" width="25.5546875" style="6" customWidth="1"/>
    <col min="17" max="17" width="14.109375" style="6" customWidth="1"/>
    <col min="18" max="18" width="14.109375" style="13" customWidth="1"/>
    <col min="19" max="20" width="14.109375" style="6" customWidth="1"/>
    <col min="21" max="21" width="16.5546875" style="6" customWidth="1"/>
    <col min="22" max="22" width="14.44140625" style="1" customWidth="1"/>
    <col min="23" max="23" width="14.6640625" style="1" customWidth="1"/>
    <col min="24" max="24" width="15.44140625" style="1" customWidth="1"/>
    <col min="25" max="16384" width="9.109375" style="1"/>
  </cols>
  <sheetData>
    <row r="2" spans="1:24" ht="15" customHeight="1" x14ac:dyDescent="0.25">
      <c r="A2" s="127" t="s">
        <v>44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9"/>
      <c r="Q2" s="9"/>
      <c r="R2" s="10"/>
      <c r="S2" s="10"/>
      <c r="T2" s="10"/>
      <c r="U2" s="10"/>
      <c r="V2" s="10"/>
      <c r="W2" s="10"/>
      <c r="X2" s="10"/>
    </row>
    <row r="3" spans="1:24" ht="45" customHeight="1" x14ac:dyDescent="0.25">
      <c r="A3" s="128" t="s">
        <v>25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1"/>
      <c r="Q3" s="11"/>
      <c r="R3" s="11"/>
      <c r="S3" s="11"/>
      <c r="T3" s="11"/>
      <c r="U3" s="11"/>
      <c r="V3" s="11"/>
      <c r="W3" s="11"/>
      <c r="X3" s="11"/>
    </row>
    <row r="4" spans="1:24" ht="18" customHeight="1" x14ac:dyDescent="0.25">
      <c r="A4" s="112" t="s">
        <v>45</v>
      </c>
      <c r="B4" s="112"/>
      <c r="C4" s="112"/>
      <c r="D4" s="112"/>
      <c r="E4" s="26"/>
      <c r="F4" s="26"/>
      <c r="G4" s="26"/>
      <c r="H4" s="26"/>
      <c r="I4" s="26"/>
      <c r="J4" s="26"/>
      <c r="K4" s="26"/>
      <c r="L4" s="49"/>
      <c r="M4" s="26"/>
      <c r="N4" s="27"/>
      <c r="O4" s="27"/>
      <c r="P4" s="11"/>
      <c r="Q4" s="11"/>
      <c r="R4" s="11"/>
      <c r="S4" s="1"/>
      <c r="T4" s="1"/>
      <c r="U4" s="1"/>
    </row>
    <row r="5" spans="1:24" ht="15" customHeight="1" x14ac:dyDescent="0.25">
      <c r="A5" s="129" t="s">
        <v>46</v>
      </c>
      <c r="B5" s="129"/>
      <c r="C5" s="129"/>
      <c r="D5" s="12"/>
    </row>
    <row r="6" spans="1:24" x14ac:dyDescent="0.25">
      <c r="A6" s="130" t="s">
        <v>31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4"/>
      <c r="Q6" s="14"/>
      <c r="R6" s="14"/>
      <c r="S6" s="14"/>
      <c r="T6" s="14"/>
      <c r="U6" s="14"/>
      <c r="V6" s="14"/>
      <c r="W6" s="14"/>
    </row>
    <row r="7" spans="1:24" ht="15" customHeight="1" x14ac:dyDescent="0.25">
      <c r="A7" s="130" t="s">
        <v>47</v>
      </c>
      <c r="B7" s="130"/>
      <c r="C7" s="130"/>
      <c r="D7" s="130"/>
      <c r="E7" s="15"/>
      <c r="F7" s="15"/>
      <c r="G7" s="15"/>
      <c r="H7" s="38"/>
      <c r="I7" s="38"/>
      <c r="J7" s="38"/>
      <c r="K7" s="38"/>
      <c r="L7" s="51"/>
      <c r="M7" s="63"/>
      <c r="N7" s="16"/>
      <c r="O7" s="16"/>
      <c r="P7" s="16"/>
      <c r="Q7" s="16"/>
      <c r="R7" s="12"/>
      <c r="S7" s="16"/>
      <c r="T7" s="16"/>
      <c r="U7" s="16"/>
      <c r="V7" s="15"/>
      <c r="W7" s="15"/>
    </row>
    <row r="8" spans="1:24" ht="15" customHeight="1" x14ac:dyDescent="0.25">
      <c r="A8" s="130" t="s">
        <v>48</v>
      </c>
      <c r="B8" s="130"/>
      <c r="C8" s="130"/>
      <c r="D8" s="130"/>
    </row>
    <row r="9" spans="1:24" ht="15" customHeight="1" x14ac:dyDescent="0.25">
      <c r="A9" s="130" t="s">
        <v>34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</row>
    <row r="10" spans="1:24" ht="15" customHeight="1" x14ac:dyDescent="0.25">
      <c r="A10" s="133" t="s">
        <v>35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7"/>
      <c r="Q10" s="17"/>
      <c r="R10" s="18"/>
      <c r="S10" s="17"/>
      <c r="T10" s="17"/>
      <c r="V10" s="132"/>
      <c r="W10" s="132"/>
      <c r="X10" s="132"/>
    </row>
    <row r="11" spans="1:24" ht="15" customHeight="1" x14ac:dyDescent="0.25">
      <c r="A11" s="44"/>
      <c r="B11" s="5"/>
    </row>
    <row r="12" spans="1:24" ht="41.25" customHeight="1" thickBot="1" x14ac:dyDescent="0.3">
      <c r="A12" s="134" t="s">
        <v>26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</row>
    <row r="13" spans="1:24" ht="15" customHeight="1" x14ac:dyDescent="0.25">
      <c r="A13" s="44"/>
      <c r="B13" s="5"/>
    </row>
    <row r="14" spans="1:24" s="4" customFormat="1" ht="12" customHeight="1" x14ac:dyDescent="0.2">
      <c r="A14" s="112" t="s">
        <v>15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3"/>
      <c r="Q14" s="13"/>
      <c r="R14" s="13"/>
      <c r="S14" s="13"/>
      <c r="T14" s="13"/>
      <c r="U14" s="13"/>
    </row>
    <row r="15" spans="1:24" s="4" customFormat="1" ht="39" customHeight="1" x14ac:dyDescent="0.2">
      <c r="A15" s="33" t="s">
        <v>0</v>
      </c>
      <c r="B15" s="33" t="s">
        <v>13</v>
      </c>
      <c r="C15" s="33" t="s">
        <v>14</v>
      </c>
      <c r="L15" s="52"/>
      <c r="N15" s="13"/>
      <c r="O15" s="13"/>
      <c r="P15" s="13"/>
      <c r="Q15" s="13"/>
      <c r="R15" s="13"/>
      <c r="S15" s="13"/>
      <c r="T15" s="13"/>
      <c r="U15" s="13"/>
    </row>
    <row r="16" spans="1:24" ht="15" customHeight="1" x14ac:dyDescent="0.25">
      <c r="A16" s="62">
        <v>1</v>
      </c>
      <c r="B16" s="19" t="s">
        <v>49</v>
      </c>
      <c r="C16" s="41" t="s">
        <v>50</v>
      </c>
    </row>
    <row r="17" spans="1:23" ht="15" customHeight="1" x14ac:dyDescent="0.25">
      <c r="A17" s="30"/>
      <c r="B17" s="24"/>
      <c r="C17" s="24"/>
    </row>
    <row r="18" spans="1:23" ht="15" customHeight="1" thickBot="1" x14ac:dyDescent="0.3">
      <c r="A18" s="143" t="s">
        <v>16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</row>
    <row r="19" spans="1:23" ht="44.25" customHeight="1" thickBot="1" x14ac:dyDescent="0.3">
      <c r="A19" s="113" t="s">
        <v>0</v>
      </c>
      <c r="B19" s="113" t="s">
        <v>1</v>
      </c>
      <c r="C19" s="108" t="s">
        <v>2</v>
      </c>
      <c r="D19" s="140" t="s">
        <v>3</v>
      </c>
      <c r="E19" s="139" t="s">
        <v>36</v>
      </c>
      <c r="F19" s="139"/>
      <c r="G19" s="139"/>
      <c r="H19" s="120" t="s">
        <v>13</v>
      </c>
      <c r="I19" s="121"/>
      <c r="J19" s="124" t="s">
        <v>4</v>
      </c>
      <c r="K19" s="124" t="s">
        <v>24</v>
      </c>
      <c r="L19" s="120" t="s">
        <v>13</v>
      </c>
      <c r="M19" s="121"/>
      <c r="N19" s="124" t="s">
        <v>4</v>
      </c>
      <c r="O19" s="124" t="s">
        <v>24</v>
      </c>
      <c r="R19" s="6"/>
      <c r="T19" s="13"/>
      <c r="V19" s="6"/>
      <c r="W19" s="6"/>
    </row>
    <row r="20" spans="1:23" ht="34.200000000000003" customHeight="1" thickBot="1" x14ac:dyDescent="0.3">
      <c r="A20" s="114"/>
      <c r="B20" s="114"/>
      <c r="C20" s="109"/>
      <c r="D20" s="141"/>
      <c r="E20" s="137" t="s">
        <v>5</v>
      </c>
      <c r="F20" s="106" t="s">
        <v>6</v>
      </c>
      <c r="G20" s="135" t="s">
        <v>7</v>
      </c>
      <c r="H20" s="122" t="str">
        <f>B16</f>
        <v>ТОО "АИМ Плюс"</v>
      </c>
      <c r="I20" s="123"/>
      <c r="J20" s="125"/>
      <c r="K20" s="125"/>
      <c r="L20" s="122"/>
      <c r="M20" s="123"/>
      <c r="N20" s="125"/>
      <c r="O20" s="125"/>
      <c r="P20" s="1"/>
      <c r="Q20" s="1"/>
      <c r="R20" s="20"/>
      <c r="S20" s="20"/>
      <c r="T20" s="20"/>
      <c r="U20" s="20"/>
      <c r="V20" s="21"/>
      <c r="W20" s="7"/>
    </row>
    <row r="21" spans="1:23" ht="22.8" customHeight="1" thickBot="1" x14ac:dyDescent="0.3">
      <c r="A21" s="115"/>
      <c r="B21" s="115"/>
      <c r="C21" s="110"/>
      <c r="D21" s="142"/>
      <c r="E21" s="138"/>
      <c r="F21" s="107"/>
      <c r="G21" s="136"/>
      <c r="H21" s="42" t="s">
        <v>6</v>
      </c>
      <c r="I21" s="43" t="s">
        <v>7</v>
      </c>
      <c r="J21" s="126"/>
      <c r="K21" s="126"/>
      <c r="L21" s="53" t="s">
        <v>6</v>
      </c>
      <c r="M21" s="43" t="s">
        <v>7</v>
      </c>
      <c r="N21" s="126"/>
      <c r="O21" s="126"/>
      <c r="P21" s="21"/>
      <c r="Q21" s="20"/>
      <c r="R21" s="8"/>
      <c r="S21" s="21"/>
      <c r="T21" s="1"/>
      <c r="U21" s="1"/>
    </row>
    <row r="22" spans="1:23" s="60" customFormat="1" ht="34.049999999999997" customHeight="1" x14ac:dyDescent="0.25">
      <c r="A22" s="78">
        <v>1</v>
      </c>
      <c r="B22" s="79" t="s">
        <v>51</v>
      </c>
      <c r="C22" s="79" t="s">
        <v>51</v>
      </c>
      <c r="D22" s="103" t="s">
        <v>52</v>
      </c>
      <c r="E22" s="78">
        <v>2</v>
      </c>
      <c r="F22" s="104">
        <v>8500</v>
      </c>
      <c r="G22" s="82">
        <f>F22*E22</f>
        <v>17000</v>
      </c>
      <c r="H22" s="82">
        <v>8495</v>
      </c>
      <c r="I22" s="82">
        <f>H22*E22</f>
        <v>16990</v>
      </c>
      <c r="J22" s="83" t="s">
        <v>49</v>
      </c>
      <c r="K22" s="94" t="s">
        <v>27</v>
      </c>
      <c r="L22" s="85"/>
      <c r="M22" s="86"/>
      <c r="N22" s="87"/>
      <c r="O22" s="84"/>
      <c r="P22" s="57"/>
      <c r="Q22" s="58"/>
      <c r="R22" s="59"/>
      <c r="S22" s="57"/>
    </row>
    <row r="23" spans="1:23" s="60" customFormat="1" ht="34.049999999999997" customHeight="1" x14ac:dyDescent="0.25">
      <c r="A23" s="66">
        <v>2</v>
      </c>
      <c r="B23" s="101" t="s">
        <v>58</v>
      </c>
      <c r="C23" s="101" t="s">
        <v>58</v>
      </c>
      <c r="D23" s="99" t="s">
        <v>52</v>
      </c>
      <c r="E23" s="66">
        <v>2</v>
      </c>
      <c r="F23" s="100">
        <v>37580</v>
      </c>
      <c r="G23" s="88">
        <f t="shared" ref="G23:G27" si="0">F23*E23</f>
        <v>75160</v>
      </c>
      <c r="H23" s="88">
        <v>37575</v>
      </c>
      <c r="I23" s="82">
        <f t="shared" ref="I23:I27" si="1">H23*E23</f>
        <v>75150</v>
      </c>
      <c r="J23" s="89" t="str">
        <f>H20</f>
        <v>ТОО "АИМ Плюс"</v>
      </c>
      <c r="K23" s="94" t="s">
        <v>27</v>
      </c>
      <c r="L23" s="90"/>
      <c r="M23" s="91"/>
      <c r="N23" s="33"/>
      <c r="O23" s="65"/>
      <c r="P23" s="57"/>
      <c r="Q23" s="58"/>
      <c r="R23" s="59"/>
      <c r="S23" s="57"/>
    </row>
    <row r="24" spans="1:23" s="60" customFormat="1" ht="34.049999999999997" customHeight="1" x14ac:dyDescent="0.25">
      <c r="A24" s="66">
        <v>3</v>
      </c>
      <c r="B24" s="101" t="s">
        <v>59</v>
      </c>
      <c r="C24" s="101" t="s">
        <v>59</v>
      </c>
      <c r="D24" s="102" t="s">
        <v>52</v>
      </c>
      <c r="E24" s="56">
        <v>2</v>
      </c>
      <c r="F24" s="100">
        <v>52600</v>
      </c>
      <c r="G24" s="88">
        <f t="shared" si="0"/>
        <v>105200</v>
      </c>
      <c r="H24" s="88">
        <v>52595</v>
      </c>
      <c r="I24" s="82">
        <f t="shared" si="1"/>
        <v>105190</v>
      </c>
      <c r="J24" s="89" t="str">
        <f>H20</f>
        <v>ТОО "АИМ Плюс"</v>
      </c>
      <c r="K24" s="94" t="s">
        <v>27</v>
      </c>
      <c r="L24" s="90"/>
      <c r="M24" s="91"/>
      <c r="N24" s="33"/>
      <c r="O24" s="65"/>
      <c r="P24" s="57"/>
      <c r="Q24" s="58"/>
      <c r="R24" s="59"/>
      <c r="S24" s="57"/>
    </row>
    <row r="25" spans="1:23" s="60" customFormat="1" ht="34.049999999999997" customHeight="1" x14ac:dyDescent="0.25">
      <c r="A25" s="66">
        <v>4</v>
      </c>
      <c r="B25" s="25" t="s">
        <v>53</v>
      </c>
      <c r="C25" s="25" t="s">
        <v>53</v>
      </c>
      <c r="D25" s="56" t="s">
        <v>60</v>
      </c>
      <c r="E25" s="56">
        <v>2</v>
      </c>
      <c r="F25" s="100">
        <v>35200</v>
      </c>
      <c r="G25" s="88">
        <f t="shared" si="0"/>
        <v>70400</v>
      </c>
      <c r="H25" s="88">
        <v>35195</v>
      </c>
      <c r="I25" s="82">
        <f t="shared" si="1"/>
        <v>70390</v>
      </c>
      <c r="J25" s="89" t="str">
        <f>H20</f>
        <v>ТОО "АИМ Плюс"</v>
      </c>
      <c r="K25" s="94" t="s">
        <v>27</v>
      </c>
      <c r="L25" s="90"/>
      <c r="M25" s="91"/>
      <c r="N25" s="33"/>
      <c r="O25" s="65"/>
      <c r="P25" s="57"/>
      <c r="Q25" s="58"/>
      <c r="R25" s="59"/>
      <c r="S25" s="57"/>
    </row>
    <row r="26" spans="1:23" s="60" customFormat="1" ht="34.049999999999997" customHeight="1" x14ac:dyDescent="0.25">
      <c r="A26" s="66">
        <v>5</v>
      </c>
      <c r="B26" s="25" t="s">
        <v>54</v>
      </c>
      <c r="C26" s="25" t="s">
        <v>54</v>
      </c>
      <c r="D26" s="56" t="s">
        <v>55</v>
      </c>
      <c r="E26" s="56">
        <v>2</v>
      </c>
      <c r="F26" s="100">
        <v>156780</v>
      </c>
      <c r="G26" s="88">
        <f t="shared" si="0"/>
        <v>313560</v>
      </c>
      <c r="H26" s="88">
        <v>156775</v>
      </c>
      <c r="I26" s="82">
        <f t="shared" si="1"/>
        <v>313550</v>
      </c>
      <c r="J26" s="89" t="str">
        <f>H20</f>
        <v>ТОО "АИМ Плюс"</v>
      </c>
      <c r="K26" s="94" t="s">
        <v>27</v>
      </c>
      <c r="L26" s="90"/>
      <c r="M26" s="91"/>
      <c r="N26" s="33"/>
      <c r="O26" s="65"/>
      <c r="P26" s="57"/>
      <c r="Q26" s="58"/>
      <c r="R26" s="59"/>
      <c r="S26" s="57"/>
    </row>
    <row r="27" spans="1:23" s="60" customFormat="1" ht="34.049999999999997" customHeight="1" thickBot="1" x14ac:dyDescent="0.3">
      <c r="A27" s="80">
        <v>6</v>
      </c>
      <c r="B27" s="81" t="s">
        <v>56</v>
      </c>
      <c r="C27" s="81" t="s">
        <v>56</v>
      </c>
      <c r="D27" s="105" t="s">
        <v>57</v>
      </c>
      <c r="E27" s="105">
        <v>10</v>
      </c>
      <c r="F27" s="105">
        <v>470</v>
      </c>
      <c r="G27" s="92">
        <f t="shared" si="0"/>
        <v>4700</v>
      </c>
      <c r="H27" s="92">
        <v>465</v>
      </c>
      <c r="I27" s="82">
        <f t="shared" si="1"/>
        <v>4650</v>
      </c>
      <c r="J27" s="93" t="str">
        <f>H20</f>
        <v>ТОО "АИМ Плюс"</v>
      </c>
      <c r="K27" s="94" t="s">
        <v>27</v>
      </c>
      <c r="L27" s="95"/>
      <c r="M27" s="96"/>
      <c r="N27" s="97"/>
      <c r="O27" s="94"/>
      <c r="P27" s="57"/>
      <c r="Q27" s="58"/>
      <c r="R27" s="59"/>
      <c r="S27" s="57"/>
    </row>
    <row r="28" spans="1:23" ht="17.25" customHeight="1" thickBot="1" x14ac:dyDescent="0.3">
      <c r="A28" s="67"/>
      <c r="B28" s="68" t="s">
        <v>19</v>
      </c>
      <c r="C28" s="69"/>
      <c r="D28" s="70"/>
      <c r="E28" s="71"/>
      <c r="F28" s="72"/>
      <c r="G28" s="73">
        <f>SUM(G22:G27)</f>
        <v>586020</v>
      </c>
      <c r="H28" s="73"/>
      <c r="I28" s="74">
        <f>SUM(I22:I27)</f>
        <v>585920</v>
      </c>
      <c r="J28" s="73"/>
      <c r="K28" s="73"/>
      <c r="L28" s="75"/>
      <c r="M28" s="73">
        <f>SUM(M22:M27)</f>
        <v>0</v>
      </c>
      <c r="N28" s="76"/>
      <c r="O28" s="77"/>
      <c r="P28" s="20"/>
      <c r="Q28" s="23"/>
      <c r="R28" s="21"/>
      <c r="S28" s="1"/>
      <c r="T28" s="1"/>
      <c r="U28" s="1"/>
    </row>
    <row r="29" spans="1:23" ht="15" customHeight="1" x14ac:dyDescent="0.25">
      <c r="A29" s="20"/>
      <c r="B29" s="20"/>
      <c r="N29" s="20"/>
      <c r="O29" s="23"/>
      <c r="P29" s="21"/>
      <c r="Q29" s="1"/>
      <c r="R29" s="1"/>
      <c r="S29" s="1"/>
      <c r="T29" s="1"/>
      <c r="U29" s="1"/>
    </row>
    <row r="30" spans="1:23" ht="15" customHeight="1" x14ac:dyDescent="0.25">
      <c r="A30" s="144" t="s">
        <v>20</v>
      </c>
      <c r="B30" s="144"/>
      <c r="C30" s="144"/>
      <c r="D30" s="144"/>
      <c r="E30" s="144"/>
      <c r="F30" s="144"/>
      <c r="G30" s="144"/>
      <c r="H30" s="144"/>
      <c r="N30" s="20"/>
      <c r="O30" s="23"/>
      <c r="P30" s="21"/>
      <c r="Q30" s="1"/>
      <c r="R30" s="1"/>
      <c r="S30" s="1"/>
      <c r="T30" s="1"/>
      <c r="U30" s="1"/>
    </row>
    <row r="31" spans="1:23" ht="9" customHeight="1" x14ac:dyDescent="0.25">
      <c r="A31" s="20"/>
      <c r="B31" s="20"/>
      <c r="N31" s="20"/>
      <c r="O31" s="23"/>
      <c r="P31" s="21"/>
      <c r="Q31" s="1"/>
      <c r="R31" s="1"/>
      <c r="S31" s="1"/>
      <c r="T31" s="1"/>
      <c r="U31" s="1"/>
    </row>
    <row r="32" spans="1:23" ht="24" x14ac:dyDescent="0.25">
      <c r="A32" s="39" t="s">
        <v>0</v>
      </c>
      <c r="B32" s="22" t="s">
        <v>21</v>
      </c>
      <c r="C32" s="22" t="s">
        <v>22</v>
      </c>
      <c r="D32" s="24"/>
      <c r="E32" s="24"/>
      <c r="F32" s="24"/>
      <c r="G32" s="24"/>
      <c r="H32" s="37"/>
      <c r="I32" s="37"/>
      <c r="J32" s="37"/>
      <c r="K32" s="37"/>
      <c r="L32" s="54"/>
      <c r="M32" s="61"/>
    </row>
    <row r="33" spans="1:24" s="4" customFormat="1" x14ac:dyDescent="0.2">
      <c r="A33" s="39">
        <v>1</v>
      </c>
      <c r="B33" s="19" t="str">
        <f>B16</f>
        <v>ТОО "АИМ Плюс"</v>
      </c>
      <c r="C33" s="22" t="s">
        <v>28</v>
      </c>
      <c r="D33" s="24"/>
      <c r="E33" s="24"/>
      <c r="F33" s="24"/>
      <c r="G33" s="24"/>
      <c r="H33" s="37"/>
      <c r="I33" s="37"/>
      <c r="J33" s="37"/>
      <c r="K33" s="37"/>
      <c r="L33" s="54"/>
      <c r="M33" s="6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" customHeight="1" x14ac:dyDescent="0.25">
      <c r="A34" s="20" t="s">
        <v>18</v>
      </c>
      <c r="B34" s="24"/>
      <c r="C34" s="24"/>
      <c r="D34" s="24"/>
      <c r="E34" s="24"/>
      <c r="F34" s="24"/>
      <c r="G34" s="24"/>
      <c r="H34" s="37"/>
      <c r="I34" s="37"/>
      <c r="J34" s="37"/>
      <c r="K34" s="37"/>
      <c r="L34" s="54"/>
      <c r="M34" s="61"/>
      <c r="N34" s="20"/>
      <c r="O34" s="23"/>
      <c r="P34" s="21"/>
      <c r="Q34" s="1"/>
      <c r="R34" s="1"/>
      <c r="S34" s="1"/>
      <c r="T34" s="1"/>
      <c r="U34" s="1"/>
    </row>
    <row r="35" spans="1:24" ht="19.5" customHeight="1" x14ac:dyDescent="0.25">
      <c r="A35" s="20"/>
      <c r="B35" s="4"/>
      <c r="C35" s="4"/>
      <c r="D35" s="24"/>
      <c r="E35" s="24"/>
      <c r="F35" s="24"/>
      <c r="G35" s="24"/>
      <c r="H35" s="37"/>
      <c r="I35" s="37"/>
      <c r="J35" s="37"/>
      <c r="K35" s="37"/>
      <c r="L35" s="54"/>
      <c r="M35" s="61"/>
      <c r="N35" s="1"/>
      <c r="O35" s="1"/>
      <c r="P35" s="2"/>
      <c r="Q35" s="3"/>
      <c r="R35" s="1"/>
      <c r="S35" s="1"/>
      <c r="T35" s="1"/>
      <c r="U35" s="1"/>
    </row>
    <row r="36" spans="1:24" ht="35.4" customHeight="1" x14ac:dyDescent="0.25">
      <c r="A36" s="39" t="s">
        <v>0</v>
      </c>
      <c r="B36" s="22" t="s">
        <v>13</v>
      </c>
      <c r="C36" s="22" t="s">
        <v>17</v>
      </c>
      <c r="D36" s="24"/>
      <c r="E36" s="24"/>
      <c r="F36" s="24"/>
      <c r="G36" s="24"/>
      <c r="H36" s="37"/>
      <c r="I36" s="37"/>
      <c r="J36" s="37"/>
      <c r="K36" s="37"/>
      <c r="L36" s="54"/>
      <c r="M36" s="61"/>
    </row>
    <row r="37" spans="1:24" ht="23.4" customHeight="1" x14ac:dyDescent="0.25">
      <c r="A37" s="39">
        <v>1</v>
      </c>
      <c r="B37" s="19" t="str">
        <f>B16</f>
        <v>ТОО "АИМ Плюс"</v>
      </c>
      <c r="C37" s="19" t="s">
        <v>23</v>
      </c>
      <c r="D37" s="37"/>
      <c r="E37" s="37"/>
      <c r="F37" s="37"/>
      <c r="G37" s="37"/>
      <c r="H37" s="37"/>
      <c r="I37" s="37"/>
      <c r="J37" s="37"/>
      <c r="K37" s="37"/>
      <c r="L37" s="54"/>
      <c r="M37" s="61"/>
    </row>
    <row r="38" spans="1:24" s="4" customFormat="1" ht="19.5" customHeight="1" x14ac:dyDescent="0.2">
      <c r="A38" s="30"/>
      <c r="B38" s="24"/>
      <c r="C38" s="24"/>
      <c r="D38" s="24"/>
      <c r="E38" s="24"/>
      <c r="F38" s="24"/>
      <c r="G38" s="24"/>
      <c r="H38" s="37"/>
      <c r="I38" s="37"/>
      <c r="J38" s="37"/>
      <c r="K38" s="37"/>
      <c r="L38" s="54"/>
      <c r="M38" s="6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s="4" customFormat="1" ht="15" customHeight="1" x14ac:dyDescent="0.2">
      <c r="A39" s="112" t="s">
        <v>9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8"/>
      <c r="Q39" s="8"/>
      <c r="R39" s="8"/>
      <c r="S39" s="8"/>
      <c r="T39" s="8"/>
      <c r="U39" s="8"/>
      <c r="V39" s="8"/>
      <c r="W39" s="8"/>
      <c r="X39" s="8"/>
    </row>
    <row r="40" spans="1:24" s="4" customFormat="1" ht="15" customHeight="1" x14ac:dyDescent="0.2">
      <c r="A40" s="32"/>
      <c r="B40" s="8"/>
      <c r="C40" s="8"/>
      <c r="D40" s="8"/>
      <c r="E40" s="8"/>
      <c r="F40" s="8"/>
      <c r="G40" s="8"/>
      <c r="H40" s="8"/>
      <c r="I40" s="8"/>
      <c r="J40" s="8"/>
      <c r="K40" s="8"/>
      <c r="L40" s="55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s="4" customFormat="1" ht="33" customHeight="1" x14ac:dyDescent="0.2">
      <c r="A41" s="40" t="s">
        <v>10</v>
      </c>
      <c r="B41" s="33" t="s">
        <v>11</v>
      </c>
      <c r="C41" s="111" t="s">
        <v>12</v>
      </c>
      <c r="D41" s="111"/>
      <c r="E41" s="111"/>
      <c r="F41" s="116" t="s">
        <v>32</v>
      </c>
      <c r="G41" s="117"/>
      <c r="H41" s="111" t="s">
        <v>33</v>
      </c>
      <c r="I41" s="111"/>
      <c r="J41" s="47"/>
      <c r="K41" s="47"/>
      <c r="L41" s="151"/>
      <c r="M41" s="15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s="4" customFormat="1" ht="33" customHeight="1" x14ac:dyDescent="0.2">
      <c r="A42" s="56">
        <v>1</v>
      </c>
      <c r="B42" s="19" t="str">
        <f>B37</f>
        <v>ТОО "АИМ Плюс"</v>
      </c>
      <c r="C42" s="118" t="s">
        <v>61</v>
      </c>
      <c r="D42" s="149"/>
      <c r="E42" s="119"/>
      <c r="F42" s="146" t="s">
        <v>62</v>
      </c>
      <c r="G42" s="147"/>
      <c r="H42" s="145">
        <f>I28</f>
        <v>585920</v>
      </c>
      <c r="I42" s="145"/>
      <c r="J42" s="48"/>
      <c r="K42" s="48"/>
      <c r="L42" s="64"/>
      <c r="M42" s="64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s="4" customFormat="1" ht="14.4" x14ac:dyDescent="0.2">
      <c r="A43" s="30"/>
      <c r="B43" s="28"/>
      <c r="C43" s="30"/>
      <c r="D43" s="31"/>
      <c r="E43" s="31"/>
      <c r="F43" s="29"/>
      <c r="G43" s="29"/>
      <c r="H43" s="29"/>
      <c r="I43" s="29"/>
      <c r="J43" s="29"/>
      <c r="K43" s="29"/>
      <c r="L43" s="29"/>
      <c r="M43" s="2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s="4" customFormat="1" ht="18.600000000000001" customHeight="1" x14ac:dyDescent="0.2">
      <c r="A44" s="148" t="s">
        <v>63</v>
      </c>
      <c r="B44" s="148"/>
      <c r="C44" s="148"/>
      <c r="D44" s="148"/>
      <c r="E44" s="148"/>
      <c r="F44" s="148"/>
      <c r="G44" s="148"/>
      <c r="H44" s="148"/>
      <c r="I44" s="29"/>
      <c r="J44" s="29"/>
      <c r="K44" s="29"/>
      <c r="L44" s="29"/>
      <c r="M44" s="2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" customHeight="1" x14ac:dyDescent="0.25">
      <c r="A45" s="98" t="s">
        <v>37</v>
      </c>
      <c r="B45" s="98"/>
      <c r="C45" s="98"/>
      <c r="D45" s="98"/>
      <c r="E45" s="98"/>
      <c r="F45" s="98"/>
      <c r="G45" s="98"/>
      <c r="H45" s="98"/>
      <c r="I45" s="34"/>
      <c r="J45" s="34"/>
      <c r="K45" s="34"/>
      <c r="L45" s="36"/>
      <c r="M45" s="36"/>
      <c r="N45" s="34"/>
      <c r="O45" s="34"/>
      <c r="P45" s="8"/>
      <c r="Q45" s="13"/>
      <c r="R45" s="6"/>
      <c r="V45" s="6"/>
      <c r="W45" s="6"/>
    </row>
    <row r="46" spans="1:24" ht="15" customHeight="1" x14ac:dyDescent="0.25">
      <c r="A46" s="98" t="s">
        <v>29</v>
      </c>
      <c r="B46" s="98"/>
      <c r="C46" s="98"/>
      <c r="D46" s="98"/>
      <c r="E46" s="98"/>
      <c r="F46" s="98"/>
      <c r="G46" s="98"/>
      <c r="H46" s="98"/>
      <c r="I46" s="98"/>
      <c r="J46" s="34"/>
      <c r="K46" s="34"/>
      <c r="L46" s="36"/>
      <c r="M46" s="36"/>
      <c r="N46" s="34"/>
      <c r="O46" s="34"/>
      <c r="P46" s="8"/>
      <c r="V46" s="6"/>
      <c r="W46" s="6"/>
      <c r="X46" s="6"/>
    </row>
    <row r="47" spans="1:24" ht="15" customHeight="1" x14ac:dyDescent="0.25">
      <c r="A47" s="45"/>
      <c r="B47" s="98"/>
      <c r="C47" s="35"/>
      <c r="D47" s="35"/>
      <c r="E47" s="34"/>
      <c r="F47" s="34"/>
      <c r="G47" s="34"/>
      <c r="H47" s="34"/>
      <c r="I47" s="34"/>
      <c r="J47" s="34"/>
      <c r="K47" s="34"/>
      <c r="L47" s="36"/>
      <c r="M47" s="36"/>
      <c r="N47" s="34"/>
      <c r="O47" s="34"/>
      <c r="P47" s="8"/>
      <c r="V47" s="6"/>
      <c r="W47" s="6"/>
      <c r="X47" s="6"/>
    </row>
    <row r="48" spans="1:24" ht="15" customHeight="1" x14ac:dyDescent="0.25">
      <c r="A48" s="45"/>
      <c r="B48" s="34"/>
      <c r="C48" s="35"/>
      <c r="D48" s="35"/>
      <c r="E48" s="34"/>
      <c r="F48" s="34"/>
      <c r="G48" s="34"/>
      <c r="H48" s="34"/>
      <c r="I48" s="34"/>
      <c r="J48" s="34"/>
      <c r="K48" s="34"/>
      <c r="L48" s="36"/>
      <c r="M48" s="36"/>
      <c r="N48" s="34"/>
      <c r="O48" s="34"/>
      <c r="P48" s="8"/>
      <c r="V48" s="6"/>
      <c r="W48" s="6"/>
      <c r="X48" s="6"/>
    </row>
    <row r="49" spans="1:24" s="98" customFormat="1" ht="15" customHeight="1" x14ac:dyDescent="0.3">
      <c r="A49" s="98" t="s">
        <v>38</v>
      </c>
    </row>
    <row r="50" spans="1:24" ht="15" customHeight="1" x14ac:dyDescent="0.25">
      <c r="A50" s="45"/>
      <c r="B50" s="34"/>
      <c r="C50" s="35"/>
      <c r="D50" s="35"/>
      <c r="E50" s="34"/>
      <c r="F50" s="34"/>
      <c r="G50" s="34"/>
      <c r="H50" s="34"/>
      <c r="I50" s="34"/>
      <c r="J50" s="34"/>
      <c r="K50" s="34"/>
      <c r="L50" s="36"/>
      <c r="M50" s="36"/>
      <c r="N50" s="34"/>
      <c r="O50" s="34"/>
      <c r="P50" s="8"/>
      <c r="V50" s="6"/>
      <c r="W50" s="6"/>
      <c r="X50" s="6"/>
    </row>
    <row r="51" spans="1:24" ht="15" customHeight="1" x14ac:dyDescent="0.25">
      <c r="A51" s="150" t="s">
        <v>39</v>
      </c>
      <c r="B51" s="150"/>
      <c r="C51" s="150"/>
      <c r="D51" s="150"/>
      <c r="E51" s="150"/>
      <c r="F51" s="150"/>
      <c r="G51" s="150"/>
      <c r="H51" s="150"/>
      <c r="I51" s="150"/>
      <c r="J51" s="150"/>
      <c r="K51" s="34"/>
      <c r="L51" s="36"/>
      <c r="M51" s="36"/>
      <c r="N51" s="34"/>
      <c r="O51" s="34"/>
      <c r="P51" s="8"/>
      <c r="V51" s="6"/>
      <c r="W51" s="6"/>
      <c r="X51" s="6"/>
    </row>
    <row r="52" spans="1:24" ht="15" customHeight="1" x14ac:dyDescent="0.25">
      <c r="A52" s="45"/>
      <c r="B52" s="34"/>
      <c r="C52" s="35"/>
      <c r="D52" s="35"/>
      <c r="E52" s="34"/>
      <c r="F52" s="34"/>
      <c r="G52" s="34"/>
      <c r="H52" s="34"/>
      <c r="I52" s="34"/>
      <c r="J52" s="34"/>
      <c r="K52" s="34"/>
      <c r="L52" s="36"/>
      <c r="M52" s="36"/>
      <c r="N52" s="34"/>
      <c r="O52" s="34"/>
      <c r="P52" s="8"/>
      <c r="V52" s="6"/>
      <c r="W52" s="6"/>
      <c r="X52" s="6"/>
    </row>
    <row r="53" spans="1:24" ht="15" customHeight="1" x14ac:dyDescent="0.25">
      <c r="A53" s="150" t="s">
        <v>40</v>
      </c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36"/>
      <c r="M53" s="36"/>
      <c r="N53" s="34"/>
      <c r="O53" s="34"/>
      <c r="P53" s="8"/>
      <c r="V53" s="6"/>
      <c r="W53" s="6"/>
      <c r="X53" s="6"/>
    </row>
    <row r="54" spans="1:24" ht="15" customHeight="1" x14ac:dyDescent="0.25">
      <c r="A54" s="45"/>
      <c r="B54" s="34"/>
      <c r="C54" s="35"/>
      <c r="D54" s="35"/>
      <c r="E54" s="34"/>
      <c r="F54" s="34"/>
      <c r="G54" s="34"/>
      <c r="H54" s="34"/>
      <c r="I54" s="34"/>
      <c r="J54" s="34"/>
      <c r="K54" s="34"/>
      <c r="L54" s="36"/>
      <c r="M54" s="36"/>
      <c r="N54" s="34"/>
      <c r="O54" s="34"/>
      <c r="P54" s="8"/>
      <c r="V54" s="6"/>
      <c r="W54" s="6"/>
      <c r="X54" s="6"/>
    </row>
    <row r="55" spans="1:24" ht="15" customHeight="1" x14ac:dyDescent="0.25">
      <c r="A55" s="150" t="s">
        <v>41</v>
      </c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36"/>
      <c r="M55" s="36"/>
      <c r="N55" s="34"/>
      <c r="O55" s="34"/>
      <c r="P55" s="8"/>
      <c r="V55" s="6"/>
      <c r="W55" s="6"/>
      <c r="X55" s="6"/>
    </row>
    <row r="56" spans="1:24" ht="15" customHeight="1" x14ac:dyDescent="0.25">
      <c r="A56" s="45"/>
      <c r="B56" s="34"/>
      <c r="C56" s="35"/>
      <c r="D56" s="35"/>
      <c r="E56" s="34"/>
      <c r="F56" s="34"/>
      <c r="G56" s="34"/>
      <c r="H56" s="34"/>
      <c r="I56" s="34"/>
      <c r="J56" s="34"/>
      <c r="K56" s="34"/>
      <c r="L56" s="36"/>
      <c r="M56" s="36"/>
      <c r="N56" s="34"/>
      <c r="O56" s="34"/>
      <c r="P56" s="8"/>
      <c r="V56" s="6"/>
      <c r="W56" s="6"/>
      <c r="X56" s="6"/>
    </row>
    <row r="57" spans="1:24" ht="15" customHeight="1" x14ac:dyDescent="0.25">
      <c r="A57" s="150" t="s">
        <v>42</v>
      </c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36"/>
      <c r="M57" s="36"/>
      <c r="N57" s="34"/>
      <c r="O57" s="34"/>
      <c r="P57" s="8"/>
      <c r="V57" s="6"/>
      <c r="W57" s="6"/>
      <c r="X57" s="6"/>
    </row>
    <row r="58" spans="1:24" ht="15" customHeight="1" x14ac:dyDescent="0.25">
      <c r="A58" s="45"/>
      <c r="B58" s="34"/>
      <c r="C58" s="35"/>
      <c r="D58" s="35"/>
      <c r="E58" s="34"/>
      <c r="F58" s="34"/>
      <c r="G58" s="34"/>
      <c r="H58" s="34"/>
      <c r="I58" s="34"/>
      <c r="J58" s="34"/>
      <c r="K58" s="34"/>
      <c r="L58" s="36"/>
      <c r="M58" s="36"/>
      <c r="N58" s="34"/>
      <c r="O58" s="34"/>
      <c r="P58" s="8"/>
      <c r="V58" s="6"/>
      <c r="W58" s="6"/>
      <c r="X58" s="6"/>
    </row>
    <row r="59" spans="1:24" ht="15" customHeight="1" x14ac:dyDescent="0.25">
      <c r="A59" s="144" t="s">
        <v>8</v>
      </c>
      <c r="B59" s="144"/>
      <c r="C59" s="144"/>
      <c r="D59" s="5"/>
      <c r="Q59" s="13"/>
      <c r="R59" s="6"/>
      <c r="V59" s="6"/>
      <c r="W59" s="6"/>
    </row>
    <row r="60" spans="1:24" ht="15" customHeight="1" x14ac:dyDescent="0.25">
      <c r="A60" s="131" t="s">
        <v>30</v>
      </c>
      <c r="B60" s="131"/>
      <c r="C60" s="1" t="s">
        <v>43</v>
      </c>
      <c r="Q60" s="13"/>
      <c r="R60" s="1"/>
      <c r="S60" s="1"/>
      <c r="T60" s="1"/>
      <c r="U60" s="1"/>
    </row>
    <row r="61" spans="1:24" ht="15" customHeight="1" x14ac:dyDescent="0.25">
      <c r="Q61" s="13"/>
      <c r="R61" s="6"/>
      <c r="V61" s="6"/>
      <c r="W61" s="6"/>
    </row>
    <row r="62" spans="1:24" ht="15" customHeight="1" x14ac:dyDescent="0.25">
      <c r="Q62" s="4"/>
      <c r="R62" s="1"/>
      <c r="S62" s="1"/>
      <c r="U62" s="1"/>
    </row>
    <row r="63" spans="1:24" ht="15" customHeight="1" x14ac:dyDescent="0.25"/>
    <row r="64" spans="1:24" ht="15" customHeight="1" x14ac:dyDescent="0.25">
      <c r="N64" s="1"/>
      <c r="O64" s="1"/>
      <c r="P64" s="1"/>
      <c r="Q64" s="13"/>
      <c r="R64" s="6"/>
      <c r="U64" s="1"/>
    </row>
  </sheetData>
  <mergeCells count="45">
    <mergeCell ref="A51:J51"/>
    <mergeCell ref="A53:K53"/>
    <mergeCell ref="A55:K55"/>
    <mergeCell ref="A57:K57"/>
    <mergeCell ref="O19:O21"/>
    <mergeCell ref="L20:M20"/>
    <mergeCell ref="L41:M41"/>
    <mergeCell ref="A30:H30"/>
    <mergeCell ref="L19:M19"/>
    <mergeCell ref="F42:G42"/>
    <mergeCell ref="H42:I42"/>
    <mergeCell ref="A44:H44"/>
    <mergeCell ref="C42:E42"/>
    <mergeCell ref="A60:B60"/>
    <mergeCell ref="V10:X10"/>
    <mergeCell ref="A7:D7"/>
    <mergeCell ref="A8:D8"/>
    <mergeCell ref="A9:O9"/>
    <mergeCell ref="A10:O10"/>
    <mergeCell ref="A12:O12"/>
    <mergeCell ref="A14:O14"/>
    <mergeCell ref="A19:A21"/>
    <mergeCell ref="G20:G21"/>
    <mergeCell ref="E20:E21"/>
    <mergeCell ref="E19:G19"/>
    <mergeCell ref="D19:D21"/>
    <mergeCell ref="A18:O18"/>
    <mergeCell ref="A59:C59"/>
    <mergeCell ref="H41:I41"/>
    <mergeCell ref="A2:O2"/>
    <mergeCell ref="A3:O3"/>
    <mergeCell ref="A4:D4"/>
    <mergeCell ref="A5:C5"/>
    <mergeCell ref="A6:O6"/>
    <mergeCell ref="H19:I19"/>
    <mergeCell ref="H20:I20"/>
    <mergeCell ref="J19:J21"/>
    <mergeCell ref="K19:K21"/>
    <mergeCell ref="F20:F21"/>
    <mergeCell ref="C19:C21"/>
    <mergeCell ref="C41:E41"/>
    <mergeCell ref="A39:O39"/>
    <mergeCell ref="B19:B21"/>
    <mergeCell ref="F41:G41"/>
    <mergeCell ref="N19:N21"/>
  </mergeCells>
  <pageMargins left="0.31496062992125984" right="0.15748031496062992" top="0.64" bottom="0.19685039370078741" header="0.11811023622047245" footer="0.15748031496062992"/>
  <pageSetup paperSize="9" scale="71" fitToHeight="0" orientation="landscape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Протокол итогов ЗЦП</vt:lpstr>
      <vt:lpstr>'Протокол итогов ЗЦП'!Область_печати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402.1</dc:creator>
  <cp:lastModifiedBy>User</cp:lastModifiedBy>
  <cp:lastPrinted>2019-12-03T06:03:28Z</cp:lastPrinted>
  <dcterms:created xsi:type="dcterms:W3CDTF">2017-08-07T04:16:40Z</dcterms:created>
  <dcterms:modified xsi:type="dcterms:W3CDTF">2024-11-26T11:53:22Z</dcterms:modified>
</cp:coreProperties>
</file>